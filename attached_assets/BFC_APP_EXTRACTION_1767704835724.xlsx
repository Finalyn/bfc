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bdis\Desktop\"/>
    </mc:Choice>
  </mc:AlternateContent>
  <xr:revisionPtr revIDLastSave="0" documentId="13_ncr:1_{8217F82E-E0DD-4653-8B42-F0C5ABB00B67}" xr6:coauthVersionLast="47" xr6:coauthVersionMax="47" xr10:uidLastSave="{00000000-0000-0000-0000-000000000000}"/>
  <bookViews>
    <workbookView xWindow="5535" yWindow="-16320" windowWidth="29040" windowHeight="15720" xr2:uid="{00000000-000D-0000-FFFF-FFFF00000000}"/>
  </bookViews>
  <sheets>
    <sheet name="PLANNING BFC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L27" i="1" l="1"/>
  <c r="H27" i="1"/>
  <c r="BL26" i="1"/>
  <c r="H26" i="1"/>
  <c r="BL25" i="1"/>
  <c r="H25" i="1"/>
  <c r="BL24" i="1"/>
  <c r="H24" i="1"/>
  <c r="BL23" i="1"/>
  <c r="H23" i="1"/>
  <c r="BL22" i="1"/>
  <c r="H22" i="1"/>
  <c r="BL21" i="1"/>
  <c r="H21" i="1"/>
  <c r="BL20" i="1"/>
  <c r="H20" i="1"/>
  <c r="BL19" i="1"/>
  <c r="H19" i="1"/>
  <c r="BL18" i="1"/>
  <c r="H18" i="1"/>
  <c r="BL17" i="1"/>
  <c r="H17" i="1"/>
  <c r="BL16" i="1"/>
  <c r="H16" i="1"/>
  <c r="BL15" i="1"/>
  <c r="H15" i="1"/>
  <c r="BL14" i="1"/>
  <c r="H14" i="1"/>
  <c r="BL13" i="1"/>
  <c r="H13" i="1"/>
  <c r="BL12" i="1"/>
  <c r="H12" i="1"/>
  <c r="BL11" i="1"/>
  <c r="H11" i="1"/>
  <c r="BL10" i="1"/>
  <c r="H10" i="1"/>
  <c r="H1" i="1" s="1"/>
  <c r="BQ1" i="1" s="1"/>
  <c r="BL9" i="1"/>
  <c r="H9" i="1"/>
  <c r="BL8" i="1"/>
  <c r="BM8" i="1" s="1"/>
  <c r="H8" i="1"/>
  <c r="BL7" i="1"/>
  <c r="H7" i="1"/>
  <c r="BL6" i="1"/>
  <c r="H6" i="1"/>
  <c r="BL5" i="1"/>
  <c r="H5" i="1"/>
  <c r="BP1" i="1"/>
  <c r="BL1" i="1"/>
  <c r="BH1" i="1"/>
  <c r="BG1" i="1"/>
  <c r="BF1" i="1"/>
  <c r="BE1" i="1"/>
  <c r="BD1" i="1"/>
  <c r="BC1" i="1"/>
  <c r="BB1" i="1"/>
  <c r="BA1" i="1"/>
  <c r="AZ1" i="1"/>
  <c r="AY1" i="1"/>
  <c r="AX1" i="1"/>
  <c r="AW1" i="1"/>
  <c r="AV1" i="1"/>
  <c r="AU1" i="1"/>
  <c r="AT1" i="1"/>
  <c r="AS1" i="1"/>
  <c r="AR1" i="1"/>
  <c r="AQ1" i="1"/>
  <c r="AP1" i="1"/>
  <c r="AO1" i="1"/>
  <c r="AN1" i="1"/>
  <c r="AM1" i="1"/>
  <c r="AL1" i="1"/>
  <c r="AK1" i="1"/>
  <c r="AJ1" i="1"/>
  <c r="AI1" i="1"/>
  <c r="AH1" i="1"/>
  <c r="AG1" i="1"/>
  <c r="AF1" i="1"/>
  <c r="AE1" i="1"/>
  <c r="AD1" i="1"/>
  <c r="AC1" i="1"/>
  <c r="AB1" i="1"/>
  <c r="AA1" i="1"/>
  <c r="Z1" i="1"/>
  <c r="Y1" i="1"/>
  <c r="X1" i="1"/>
  <c r="W1" i="1"/>
  <c r="V1" i="1"/>
  <c r="U1" i="1"/>
  <c r="T1" i="1"/>
  <c r="S1" i="1"/>
  <c r="R1" i="1"/>
  <c r="Q1" i="1"/>
  <c r="P1" i="1"/>
  <c r="O1" i="1"/>
  <c r="N1" i="1"/>
  <c r="M1" i="1"/>
  <c r="L1" i="1"/>
  <c r="K1" i="1"/>
  <c r="J1" i="1"/>
  <c r="I1" i="1"/>
</calcChain>
</file>

<file path=xl/sharedStrings.xml><?xml version="1.0" encoding="utf-8"?>
<sst xmlns="http://schemas.openxmlformats.org/spreadsheetml/2006/main" count="244" uniqueCount="89">
  <si>
    <t>BDIS</t>
  </si>
  <si>
    <t>MAEVA</t>
  </si>
  <si>
    <t>COTTREAU</t>
  </si>
  <si>
    <t>SIROCO</t>
  </si>
  <si>
    <t>VDH</t>
  </si>
  <si>
    <t>VENT D'OUEST</t>
  </si>
  <si>
    <t>NAYAT</t>
  </si>
  <si>
    <t>Agents
commerciaux</t>
  </si>
  <si>
    <t>FOURNISSEUR</t>
  </si>
  <si>
    <t>RAISON SOCIALE</t>
  </si>
  <si>
    <t>CP</t>
  </si>
  <si>
    <t>date de cde</t>
  </si>
  <si>
    <t>date de livraison</t>
  </si>
  <si>
    <t>HYPER</t>
  </si>
  <si>
    <t>Nb de palettes</t>
  </si>
  <si>
    <t>MEN</t>
  </si>
  <si>
    <t>RGT / ENTRETIEN</t>
  </si>
  <si>
    <t>UTILE -HI-TECH</t>
  </si>
  <si>
    <t>BRICOLAGE</t>
  </si>
  <si>
    <t>JARDIN</t>
  </si>
  <si>
    <t>CHO7</t>
  </si>
  <si>
    <t>COLORIAGE</t>
  </si>
  <si>
    <t>Pâques</t>
  </si>
  <si>
    <t>CORPS</t>
  </si>
  <si>
    <t>SUPPORTER</t>
  </si>
  <si>
    <t>Barbecue</t>
  </si>
  <si>
    <t>J ETE</t>
  </si>
  <si>
    <t>CITRONNELLE</t>
  </si>
  <si>
    <t>SENTEUR</t>
  </si>
  <si>
    <t>RDC</t>
  </si>
  <si>
    <t>HIVERS</t>
  </si>
  <si>
    <t>HALLOWEEN</t>
  </si>
  <si>
    <t>NOEL</t>
  </si>
  <si>
    <t>DECO TABLE</t>
  </si>
  <si>
    <t>VAISSELLE</t>
  </si>
  <si>
    <t>TOP VENTE</t>
  </si>
  <si>
    <t>SPORT</t>
  </si>
  <si>
    <t>MDB</t>
  </si>
  <si>
    <t>ANIMAUX</t>
  </si>
  <si>
    <t>FLEURS</t>
  </si>
  <si>
    <t>LIVRES</t>
  </si>
  <si>
    <t>MENAGE</t>
  </si>
  <si>
    <t>C'EST VOUS LE CHEF</t>
  </si>
  <si>
    <t>BRICO / JARDIN</t>
  </si>
  <si>
    <t>SHOP IN</t>
  </si>
  <si>
    <t>BBQ</t>
  </si>
  <si>
    <t>PLAGE</t>
  </si>
  <si>
    <t>INSECTES</t>
  </si>
  <si>
    <t>C'EST PRATIQUE</t>
  </si>
  <si>
    <t>DEGUISEMENT</t>
  </si>
  <si>
    <t>ULTRA PROPRE</t>
  </si>
  <si>
    <t>ELECTRIQUE</t>
  </si>
  <si>
    <t>BONNET NOEL</t>
  </si>
  <si>
    <t>DECO</t>
  </si>
  <si>
    <t>BLANC</t>
  </si>
  <si>
    <t>COCOON</t>
  </si>
  <si>
    <t>HOME CONFORT</t>
  </si>
  <si>
    <t>CUSINE/BLANC</t>
  </si>
  <si>
    <t>SALLE DE BAIN</t>
  </si>
  <si>
    <t>POLAIRE/CHO7</t>
  </si>
  <si>
    <t>VENTE FERME</t>
  </si>
  <si>
    <t>DEPOT / VENTE</t>
  </si>
  <si>
    <t>TABOURET</t>
  </si>
  <si>
    <t>VETEMENTS</t>
  </si>
  <si>
    <t>CARILLON</t>
  </si>
  <si>
    <t>X</t>
  </si>
  <si>
    <t>Opé.
Nat.</t>
  </si>
  <si>
    <t>DATE DE INVENTAIRE PREVUE</t>
  </si>
  <si>
    <t>DDE DATE D'INVENTAIRE</t>
  </si>
  <si>
    <t>INTERVENANT</t>
  </si>
  <si>
    <t>DATE RETOUR</t>
  </si>
  <si>
    <t>CA</t>
  </si>
  <si>
    <t>COM</t>
  </si>
  <si>
    <t>CHABAUD</t>
  </si>
  <si>
    <t>8A8 GIAT</t>
  </si>
  <si>
    <t>63</t>
  </si>
  <si>
    <t>?</t>
  </si>
  <si>
    <t>CATHY</t>
  </si>
  <si>
    <t>VOLAY</t>
  </si>
  <si>
    <t>8A8 LANDOS</t>
  </si>
  <si>
    <t>43</t>
  </si>
  <si>
    <t>SEMAINE 21</t>
  </si>
  <si>
    <t>BAPTISTE</t>
  </si>
  <si>
    <t>SEMAINE 35</t>
  </si>
  <si>
    <t>8A8 LULLIN</t>
  </si>
  <si>
    <t>74</t>
  </si>
  <si>
    <t>DAMIEN</t>
  </si>
  <si>
    <t>NAYATS</t>
  </si>
  <si>
    <t>MAGASIN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</si>
</sst>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5" formatCode="[$-40C]dd\-mmm\-yy;@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Arial"/>
      <family val="2"/>
    </font>
    <font>
      <sz val="9"/>
      <name val="Arial"/>
      <family val="2"/>
    </font>
    <font>
      <b/>
      <sz val="8"/>
      <color indexed="10"/>
      <name val="Arial"/>
      <family val="2"/>
    </font>
    <font>
      <sz val="6"/>
      <name val="Arial"/>
      <family val="2"/>
    </font>
    <font>
      <sz val="8"/>
      <name val="Comic Sans MS"/>
      <family val="4"/>
    </font>
    <font>
      <b/>
      <sz val="8"/>
      <name val="Arial"/>
      <family val="2"/>
    </font>
    <font>
      <b/>
      <sz val="9"/>
      <name val="Arial"/>
      <family val="2"/>
    </font>
    <font>
      <b/>
      <sz val="9"/>
      <name val="Comic Sans MS"/>
      <family val="4"/>
    </font>
    <font>
      <b/>
      <sz val="1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8CAA4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9933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theme="6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8">
    <xf numFmtId="0" fontId="0" fillId="0" borderId="0" xfId="0"/>
    <xf numFmtId="0" fontId="2" fillId="0" borderId="0" xfId="0" applyFont="1" applyAlignment="1">
      <alignment horizontal="left" vertical="center"/>
    </xf>
    <xf numFmtId="0" fontId="2" fillId="0" borderId="1" xfId="0" applyFont="1" applyBorder="1" applyAlignment="1">
      <alignment horizontal="left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5" fillId="3" borderId="0" xfId="1" applyNumberFormat="1" applyFont="1" applyFill="1" applyAlignment="1">
      <alignment horizontal="center"/>
    </xf>
    <xf numFmtId="0" fontId="5" fillId="4" borderId="0" xfId="1" applyNumberFormat="1" applyFont="1" applyFill="1" applyAlignment="1">
      <alignment horizontal="center"/>
    </xf>
    <xf numFmtId="0" fontId="5" fillId="5" borderId="0" xfId="1" applyNumberFormat="1" applyFont="1" applyFill="1" applyAlignment="1">
      <alignment horizontal="center"/>
    </xf>
    <xf numFmtId="0" fontId="5" fillId="6" borderId="0" xfId="1" applyNumberFormat="1" applyFont="1" applyFill="1" applyAlignment="1">
      <alignment horizontal="center"/>
    </xf>
    <xf numFmtId="0" fontId="5" fillId="7" borderId="0" xfId="1" applyNumberFormat="1" applyFont="1" applyFill="1" applyAlignment="1">
      <alignment horizontal="center"/>
    </xf>
    <xf numFmtId="0" fontId="5" fillId="8" borderId="0" xfId="1" applyNumberFormat="1" applyFont="1" applyFill="1" applyAlignment="1">
      <alignment horizontal="center"/>
    </xf>
    <xf numFmtId="0" fontId="5" fillId="9" borderId="0" xfId="1" applyNumberFormat="1" applyFont="1" applyFill="1" applyAlignment="1">
      <alignment horizontal="center"/>
    </xf>
    <xf numFmtId="0" fontId="6" fillId="0" borderId="0" xfId="0" applyFont="1" applyAlignment="1">
      <alignment horizontal="center" vertical="center"/>
    </xf>
    <xf numFmtId="14" fontId="6" fillId="0" borderId="0" xfId="0" applyNumberFormat="1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6" fillId="0" borderId="0" xfId="1" applyNumberFormat="1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3" fillId="0" borderId="1" xfId="0" applyFont="1" applyBorder="1" applyAlignment="1">
      <alignment horizontal="left"/>
    </xf>
    <xf numFmtId="49" fontId="8" fillId="0" borderId="0" xfId="0" applyNumberFormat="1" applyFont="1" applyAlignment="1">
      <alignment horizontal="center" vertical="center"/>
    </xf>
    <xf numFmtId="15" fontId="2" fillId="0" borderId="0" xfId="0" applyNumberFormat="1" applyFont="1" applyAlignment="1">
      <alignment horizontal="center" vertical="center"/>
    </xf>
    <xf numFmtId="15" fontId="7" fillId="0" borderId="0" xfId="0" applyNumberFormat="1" applyFont="1" applyAlignment="1">
      <alignment horizontal="center" vertical="center"/>
    </xf>
    <xf numFmtId="0" fontId="5" fillId="3" borderId="0" xfId="1" applyNumberFormat="1" applyFont="1" applyFill="1" applyAlignment="1">
      <alignment horizontal="center" textRotation="255"/>
    </xf>
    <xf numFmtId="0" fontId="5" fillId="4" borderId="0" xfId="1" applyNumberFormat="1" applyFont="1" applyFill="1" applyAlignment="1">
      <alignment horizontal="center" textRotation="255"/>
    </xf>
    <xf numFmtId="0" fontId="5" fillId="10" borderId="0" xfId="1" applyNumberFormat="1" applyFont="1" applyFill="1" applyAlignment="1">
      <alignment horizontal="center" textRotation="255"/>
    </xf>
    <xf numFmtId="0" fontId="5" fillId="6" borderId="0" xfId="1" applyNumberFormat="1" applyFont="1" applyFill="1" applyAlignment="1">
      <alignment horizontal="center" textRotation="255"/>
    </xf>
    <xf numFmtId="0" fontId="5" fillId="7" borderId="0" xfId="1" applyNumberFormat="1" applyFont="1" applyFill="1" applyAlignment="1">
      <alignment horizontal="center" textRotation="255"/>
    </xf>
    <xf numFmtId="0" fontId="5" fillId="8" borderId="0" xfId="0" applyFont="1" applyFill="1" applyAlignment="1">
      <alignment horizontal="center" textRotation="255"/>
    </xf>
    <xf numFmtId="0" fontId="5" fillId="9" borderId="0" xfId="0" applyFont="1" applyFill="1" applyAlignment="1">
      <alignment horizontal="center" textRotation="255"/>
    </xf>
    <xf numFmtId="0" fontId="9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0" fillId="3" borderId="0" xfId="1" applyNumberFormat="1" applyFont="1" applyFill="1" applyAlignment="1">
      <alignment horizontal="center" vertical="center"/>
    </xf>
    <xf numFmtId="0" fontId="10" fillId="3" borderId="0" xfId="1" applyNumberFormat="1" applyFont="1" applyFill="1" applyAlignment="1">
      <alignment horizontal="center" vertical="center" wrapText="1"/>
    </xf>
    <xf numFmtId="0" fontId="2" fillId="4" borderId="0" xfId="1" applyNumberFormat="1" applyFont="1" applyFill="1" applyAlignment="1">
      <alignment horizontal="center"/>
    </xf>
    <xf numFmtId="0" fontId="2" fillId="10" borderId="0" xfId="1" applyNumberFormat="1" applyFont="1" applyFill="1" applyAlignment="1">
      <alignment horizontal="center"/>
    </xf>
    <xf numFmtId="0" fontId="2" fillId="6" borderId="0" xfId="1" applyNumberFormat="1" applyFont="1" applyFill="1" applyAlignment="1">
      <alignment horizontal="center"/>
    </xf>
    <xf numFmtId="0" fontId="2" fillId="7" borderId="0" xfId="1" applyNumberFormat="1" applyFont="1" applyFill="1" applyAlignment="1">
      <alignment horizontal="center"/>
    </xf>
    <xf numFmtId="0" fontId="2" fillId="8" borderId="0" xfId="0" applyFont="1" applyFill="1" applyAlignment="1">
      <alignment horizontal="center"/>
    </xf>
    <xf numFmtId="0" fontId="2" fillId="9" borderId="0" xfId="0" applyFont="1" applyFill="1" applyAlignment="1">
      <alignment horizontal="center"/>
    </xf>
    <xf numFmtId="0" fontId="8" fillId="0" borderId="1" xfId="0" applyFont="1" applyBorder="1" applyAlignment="1">
      <alignment horizontal="center" vertical="center" wrapText="1"/>
    </xf>
    <xf numFmtId="49" fontId="8" fillId="11" borderId="1" xfId="0" applyNumberFormat="1" applyFont="1" applyFill="1" applyBorder="1" applyAlignment="1">
      <alignment horizontal="center" vertical="center" wrapText="1"/>
    </xf>
    <xf numFmtId="15" fontId="8" fillId="0" borderId="1" xfId="0" applyNumberFormat="1" applyFont="1" applyBorder="1" applyAlignment="1">
      <alignment horizontal="center" vertical="center" wrapText="1"/>
    </xf>
    <xf numFmtId="15" fontId="8" fillId="0" borderId="1" xfId="0" applyNumberFormat="1" applyFont="1" applyBorder="1" applyAlignment="1">
      <alignment horizontal="center" vertical="center" wrapText="1" shrinkToFit="1"/>
    </xf>
    <xf numFmtId="0" fontId="8" fillId="2" borderId="1" xfId="0" applyFont="1" applyFill="1" applyBorder="1" applyAlignment="1">
      <alignment horizontal="center" vertical="center" wrapText="1"/>
    </xf>
    <xf numFmtId="0" fontId="5" fillId="3" borderId="1" xfId="1" applyNumberFormat="1" applyFont="1" applyFill="1" applyBorder="1" applyAlignment="1">
      <alignment horizontal="center" vertical="center" wrapText="1"/>
    </xf>
    <xf numFmtId="0" fontId="5" fillId="4" borderId="1" xfId="1" applyNumberFormat="1" applyFont="1" applyFill="1" applyBorder="1" applyAlignment="1">
      <alignment horizontal="center" vertical="center" wrapText="1"/>
    </xf>
    <xf numFmtId="0" fontId="5" fillId="5" borderId="1" xfId="1" applyNumberFormat="1" applyFont="1" applyFill="1" applyBorder="1" applyAlignment="1">
      <alignment horizontal="center" vertical="center" wrapText="1"/>
    </xf>
    <xf numFmtId="0" fontId="5" fillId="6" borderId="1" xfId="1" applyNumberFormat="1" applyFont="1" applyFill="1" applyBorder="1" applyAlignment="1">
      <alignment horizontal="center" vertical="center" wrapText="1"/>
    </xf>
    <xf numFmtId="0" fontId="5" fillId="7" borderId="1" xfId="1" applyNumberFormat="1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3" fillId="11" borderId="1" xfId="0" applyNumberFormat="1" applyFont="1" applyFill="1" applyBorder="1" applyAlignment="1">
      <alignment horizontal="center" vertical="center"/>
    </xf>
    <xf numFmtId="15" fontId="2" fillId="0" borderId="1" xfId="0" applyNumberFormat="1" applyFont="1" applyBorder="1" applyAlignment="1">
      <alignment horizontal="center"/>
    </xf>
    <xf numFmtId="15" fontId="2" fillId="0" borderId="1" xfId="0" applyNumberFormat="1" applyFont="1" applyBorder="1" applyAlignment="1">
      <alignment horizontal="center" shrinkToFit="1"/>
    </xf>
    <xf numFmtId="0" fontId="4" fillId="0" borderId="1" xfId="0" applyFont="1" applyBorder="1" applyAlignment="1">
      <alignment horizontal="center"/>
    </xf>
    <xf numFmtId="165" fontId="2" fillId="0" borderId="4" xfId="0" applyNumberFormat="1" applyFont="1" applyBorder="1"/>
    <xf numFmtId="165" fontId="2" fillId="0" borderId="5" xfId="0" applyNumberFormat="1" applyFont="1" applyBorder="1"/>
    <xf numFmtId="165" fontId="2" fillId="0" borderId="1" xfId="0" applyNumberFormat="1" applyFont="1" applyBorder="1" applyAlignment="1">
      <alignment horizontal="center"/>
    </xf>
    <xf numFmtId="16" fontId="9" fillId="0" borderId="1" xfId="0" applyNumberFormat="1" applyFont="1" applyBorder="1" applyAlignment="1">
      <alignment horizontal="center" vertical="center" wrapText="1"/>
    </xf>
    <xf numFmtId="17" fontId="8" fillId="0" borderId="0" xfId="0" applyNumberFormat="1" applyFont="1" applyAlignment="1">
      <alignment horizontal="center" vertical="center" wrapText="1"/>
    </xf>
    <xf numFmtId="165" fontId="2" fillId="0" borderId="1" xfId="0" applyNumberFormat="1" applyFont="1" applyBorder="1" applyAlignment="1">
      <alignment horizontal="center" wrapText="1"/>
    </xf>
    <xf numFmtId="14" fontId="2" fillId="0" borderId="1" xfId="0" applyNumberFormat="1" applyFont="1" applyBorder="1" applyAlignment="1">
      <alignment horizontal="left"/>
    </xf>
  </cellXfs>
  <cellStyles count="2">
    <cellStyle name="Milliers" xfId="1" builtinId="3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Q27"/>
  <sheetViews>
    <sheetView tabSelected="1" workbookViewId="0">
      <selection activeCell="D21" sqref="D21"/>
    </sheetView>
  </sheetViews>
  <sheetFormatPr baseColWidth="10" defaultColWidth="9.06640625" defaultRowHeight="14.25" x14ac:dyDescent="0.45"/>
  <cols>
    <col min="3" max="3" width="10.59765625" customWidth="1"/>
    <col min="7" max="63" width="3.33203125" customWidth="1"/>
  </cols>
  <sheetData>
    <row r="1" spans="1:69" x14ac:dyDescent="0.45">
      <c r="A1" s="1"/>
      <c r="B1" s="1"/>
      <c r="C1" s="2"/>
      <c r="D1" s="3"/>
      <c r="E1" s="4"/>
      <c r="F1" s="4"/>
      <c r="G1" s="4"/>
      <c r="H1" s="5">
        <f>SUBTOTAL(9,H5:H2194)</f>
        <v>22</v>
      </c>
      <c r="I1" s="6">
        <f t="shared" ref="I1:BH1" si="0">SUBTOTAL(9,I1578:I2189)</f>
        <v>0</v>
      </c>
      <c r="J1" s="6">
        <f t="shared" si="0"/>
        <v>0</v>
      </c>
      <c r="K1" s="6">
        <f t="shared" si="0"/>
        <v>0</v>
      </c>
      <c r="L1" s="6">
        <f t="shared" si="0"/>
        <v>0</v>
      </c>
      <c r="M1" s="6">
        <f t="shared" si="0"/>
        <v>0</v>
      </c>
      <c r="N1" s="6">
        <f t="shared" si="0"/>
        <v>0</v>
      </c>
      <c r="O1" s="6">
        <f t="shared" si="0"/>
        <v>0</v>
      </c>
      <c r="P1" s="6">
        <f t="shared" si="0"/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7">
        <f t="shared" si="0"/>
        <v>0</v>
      </c>
      <c r="AH1" s="8">
        <f t="shared" si="0"/>
        <v>0</v>
      </c>
      <c r="AI1" s="9">
        <f t="shared" si="0"/>
        <v>0</v>
      </c>
      <c r="AJ1" s="9">
        <f t="shared" si="0"/>
        <v>0</v>
      </c>
      <c r="AK1" s="9">
        <f t="shared" si="0"/>
        <v>0</v>
      </c>
      <c r="AL1" s="9">
        <f t="shared" si="0"/>
        <v>0</v>
      </c>
      <c r="AM1" s="9">
        <f t="shared" si="0"/>
        <v>0</v>
      </c>
      <c r="AN1" s="9">
        <f t="shared" si="0"/>
        <v>0</v>
      </c>
      <c r="AO1" s="9">
        <f t="shared" si="0"/>
        <v>0</v>
      </c>
      <c r="AP1" s="9">
        <f t="shared" si="0"/>
        <v>0</v>
      </c>
      <c r="AQ1" s="9">
        <f t="shared" si="0"/>
        <v>0</v>
      </c>
      <c r="AR1" s="9">
        <f t="shared" si="0"/>
        <v>0</v>
      </c>
      <c r="AS1" s="9">
        <f t="shared" si="0"/>
        <v>0</v>
      </c>
      <c r="AT1" s="9">
        <f t="shared" si="0"/>
        <v>0</v>
      </c>
      <c r="AU1" s="9">
        <f t="shared" si="0"/>
        <v>0</v>
      </c>
      <c r="AV1" s="10">
        <f t="shared" si="0"/>
        <v>0</v>
      </c>
      <c r="AW1" s="10">
        <f t="shared" si="0"/>
        <v>0</v>
      </c>
      <c r="AX1" s="10">
        <f t="shared" si="0"/>
        <v>0</v>
      </c>
      <c r="AY1" s="10">
        <f t="shared" si="0"/>
        <v>0</v>
      </c>
      <c r="AZ1" s="10">
        <f t="shared" si="0"/>
        <v>0</v>
      </c>
      <c r="BA1" s="10">
        <f t="shared" si="0"/>
        <v>0</v>
      </c>
      <c r="BB1" s="10">
        <f t="shared" si="0"/>
        <v>0</v>
      </c>
      <c r="BC1" s="10">
        <f t="shared" si="0"/>
        <v>0</v>
      </c>
      <c r="BD1" s="10">
        <f t="shared" si="0"/>
        <v>0</v>
      </c>
      <c r="BE1" s="11">
        <f t="shared" si="0"/>
        <v>0</v>
      </c>
      <c r="BF1" s="11">
        <f t="shared" si="0"/>
        <v>0</v>
      </c>
      <c r="BG1" s="12">
        <f t="shared" si="0"/>
        <v>0</v>
      </c>
      <c r="BH1" s="12">
        <f t="shared" si="0"/>
        <v>0</v>
      </c>
      <c r="BI1" s="12"/>
      <c r="BJ1" s="12"/>
      <c r="BK1" s="13"/>
      <c r="BL1" s="14">
        <f ca="1">TODAY()</f>
        <v>45960</v>
      </c>
      <c r="BM1" s="14"/>
      <c r="BN1" s="15"/>
      <c r="BO1" s="13"/>
      <c r="BP1" s="4">
        <f>SUBTOTAL(9,BP4:BP2190)</f>
        <v>0</v>
      </c>
      <c r="BQ1" s="16">
        <f>+BP1/H1</f>
        <v>0</v>
      </c>
    </row>
    <row r="2" spans="1:69" ht="90.75" x14ac:dyDescent="0.45">
      <c r="A2" s="17"/>
      <c r="B2" s="1"/>
      <c r="C2" s="18"/>
      <c r="D2" s="19"/>
      <c r="E2" s="20"/>
      <c r="F2" s="21"/>
      <c r="G2" s="21"/>
      <c r="H2" s="5"/>
      <c r="I2" s="22" t="s">
        <v>0</v>
      </c>
      <c r="J2" s="22" t="s">
        <v>0</v>
      </c>
      <c r="K2" s="22" t="s">
        <v>0</v>
      </c>
      <c r="L2" s="22" t="s">
        <v>0</v>
      </c>
      <c r="M2" s="22" t="s">
        <v>0</v>
      </c>
      <c r="N2" s="22" t="s">
        <v>0</v>
      </c>
      <c r="O2" s="22" t="s">
        <v>0</v>
      </c>
      <c r="P2" s="22" t="s">
        <v>0</v>
      </c>
      <c r="Q2" s="22" t="s">
        <v>0</v>
      </c>
      <c r="R2" s="22" t="s">
        <v>0</v>
      </c>
      <c r="S2" s="22" t="s">
        <v>0</v>
      </c>
      <c r="T2" s="22" t="s">
        <v>0</v>
      </c>
      <c r="U2" s="22" t="s">
        <v>0</v>
      </c>
      <c r="V2" s="22" t="s">
        <v>0</v>
      </c>
      <c r="W2" s="22" t="s">
        <v>0</v>
      </c>
      <c r="X2" s="22" t="s">
        <v>0</v>
      </c>
      <c r="Y2" s="22" t="s">
        <v>0</v>
      </c>
      <c r="Z2" s="22" t="s">
        <v>0</v>
      </c>
      <c r="AA2" s="22" t="s">
        <v>0</v>
      </c>
      <c r="AB2" s="22" t="s">
        <v>0</v>
      </c>
      <c r="AC2" s="22" t="s">
        <v>0</v>
      </c>
      <c r="AD2" s="22" t="s">
        <v>0</v>
      </c>
      <c r="AE2" s="22" t="s">
        <v>0</v>
      </c>
      <c r="AF2" s="22" t="s">
        <v>0</v>
      </c>
      <c r="AG2" s="23" t="s">
        <v>1</v>
      </c>
      <c r="AH2" s="24" t="s">
        <v>2</v>
      </c>
      <c r="AI2" s="25" t="s">
        <v>3</v>
      </c>
      <c r="AJ2" s="25" t="s">
        <v>3</v>
      </c>
      <c r="AK2" s="25" t="s">
        <v>3</v>
      </c>
      <c r="AL2" s="25" t="s">
        <v>3</v>
      </c>
      <c r="AM2" s="25" t="s">
        <v>3</v>
      </c>
      <c r="AN2" s="25" t="s">
        <v>3</v>
      </c>
      <c r="AO2" s="25" t="s">
        <v>3</v>
      </c>
      <c r="AP2" s="25" t="s">
        <v>3</v>
      </c>
      <c r="AQ2" s="25" t="s">
        <v>3</v>
      </c>
      <c r="AR2" s="25" t="s">
        <v>3</v>
      </c>
      <c r="AS2" s="25" t="s">
        <v>3</v>
      </c>
      <c r="AT2" s="25" t="s">
        <v>3</v>
      </c>
      <c r="AU2" s="25" t="s">
        <v>3</v>
      </c>
      <c r="AV2" s="26" t="s">
        <v>4</v>
      </c>
      <c r="AW2" s="26" t="s">
        <v>4</v>
      </c>
      <c r="AX2" s="26" t="s">
        <v>4</v>
      </c>
      <c r="AY2" s="26" t="s">
        <v>4</v>
      </c>
      <c r="AZ2" s="26" t="s">
        <v>4</v>
      </c>
      <c r="BA2" s="26" t="s">
        <v>4</v>
      </c>
      <c r="BB2" s="26" t="s">
        <v>4</v>
      </c>
      <c r="BC2" s="26" t="s">
        <v>4</v>
      </c>
      <c r="BD2" s="26" t="s">
        <v>4</v>
      </c>
      <c r="BE2" s="27" t="s">
        <v>5</v>
      </c>
      <c r="BF2" s="27" t="s">
        <v>5</v>
      </c>
      <c r="BG2" s="28" t="s">
        <v>6</v>
      </c>
      <c r="BH2" s="28" t="s">
        <v>6</v>
      </c>
      <c r="BI2" s="28" t="s">
        <v>6</v>
      </c>
      <c r="BJ2" s="28" t="s">
        <v>6</v>
      </c>
      <c r="BK2" s="29"/>
      <c r="BL2" s="29">
        <v>30</v>
      </c>
      <c r="BM2" s="29"/>
      <c r="BN2" s="3"/>
      <c r="BO2" s="29"/>
      <c r="BP2" s="17"/>
      <c r="BQ2" s="30"/>
    </row>
    <row r="3" spans="1:69" ht="14.65" x14ac:dyDescent="0.45">
      <c r="A3" s="17"/>
      <c r="B3" s="17"/>
      <c r="C3" s="18"/>
      <c r="D3" s="19"/>
      <c r="E3" s="21"/>
      <c r="F3" s="21"/>
      <c r="G3" s="21"/>
      <c r="H3" s="5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3"/>
      <c r="AH3" s="34"/>
      <c r="AI3" s="35"/>
      <c r="AJ3" s="35"/>
      <c r="AK3" s="35"/>
      <c r="AL3" s="35"/>
      <c r="AM3" s="35"/>
      <c r="AN3" s="35"/>
      <c r="AO3" s="35"/>
      <c r="AP3" s="35"/>
      <c r="AQ3" s="35"/>
      <c r="AR3" s="35"/>
      <c r="AS3" s="35"/>
      <c r="AT3" s="35"/>
      <c r="AU3" s="35"/>
      <c r="AV3" s="36"/>
      <c r="AW3" s="36"/>
      <c r="AX3" s="36"/>
      <c r="AY3" s="36"/>
      <c r="AZ3" s="36"/>
      <c r="BA3" s="36"/>
      <c r="BB3" s="36"/>
      <c r="BC3" s="36"/>
      <c r="BD3" s="36"/>
      <c r="BE3" s="37"/>
      <c r="BF3" s="37"/>
      <c r="BG3" s="38"/>
      <c r="BH3" s="38"/>
      <c r="BI3" s="38"/>
      <c r="BJ3" s="38"/>
      <c r="BK3" s="29"/>
      <c r="BL3" s="29"/>
      <c r="BM3" s="29"/>
      <c r="BN3" s="3"/>
      <c r="BO3" s="29"/>
      <c r="BP3" s="17"/>
      <c r="BQ3" s="30"/>
    </row>
    <row r="4" spans="1:69" ht="58.5" x14ac:dyDescent="0.45">
      <c r="A4" s="39" t="s">
        <v>7</v>
      </c>
      <c r="B4" s="39" t="s">
        <v>8</v>
      </c>
      <c r="C4" s="39" t="s">
        <v>9</v>
      </c>
      <c r="D4" s="40" t="s">
        <v>10</v>
      </c>
      <c r="E4" s="41" t="s">
        <v>11</v>
      </c>
      <c r="F4" s="41" t="s">
        <v>12</v>
      </c>
      <c r="G4" s="42" t="s">
        <v>13</v>
      </c>
      <c r="H4" s="43" t="s">
        <v>14</v>
      </c>
      <c r="I4" s="44" t="s">
        <v>15</v>
      </c>
      <c r="J4" s="44" t="s">
        <v>16</v>
      </c>
      <c r="K4" s="44" t="s">
        <v>17</v>
      </c>
      <c r="L4" s="44" t="s">
        <v>18</v>
      </c>
      <c r="M4" s="44" t="s">
        <v>19</v>
      </c>
      <c r="N4" s="44" t="s">
        <v>20</v>
      </c>
      <c r="O4" s="44" t="s">
        <v>21</v>
      </c>
      <c r="P4" s="44" t="s">
        <v>22</v>
      </c>
      <c r="Q4" s="44" t="s">
        <v>23</v>
      </c>
      <c r="R4" s="44" t="s">
        <v>24</v>
      </c>
      <c r="S4" s="44" t="s">
        <v>25</v>
      </c>
      <c r="T4" s="44" t="s">
        <v>26</v>
      </c>
      <c r="U4" s="44" t="s">
        <v>27</v>
      </c>
      <c r="V4" s="44" t="s">
        <v>28</v>
      </c>
      <c r="W4" s="44" t="s">
        <v>29</v>
      </c>
      <c r="X4" s="44" t="s">
        <v>30</v>
      </c>
      <c r="Y4" s="44" t="s">
        <v>31</v>
      </c>
      <c r="Z4" s="44" t="s">
        <v>32</v>
      </c>
      <c r="AA4" s="44" t="s">
        <v>33</v>
      </c>
      <c r="AB4" s="44" t="s">
        <v>34</v>
      </c>
      <c r="AC4" s="44" t="s">
        <v>35</v>
      </c>
      <c r="AD4" s="44" t="s">
        <v>36</v>
      </c>
      <c r="AE4" s="44" t="s">
        <v>37</v>
      </c>
      <c r="AF4" s="44" t="s">
        <v>38</v>
      </c>
      <c r="AG4" s="45" t="s">
        <v>39</v>
      </c>
      <c r="AH4" s="46" t="s">
        <v>40</v>
      </c>
      <c r="AI4" s="47" t="s">
        <v>41</v>
      </c>
      <c r="AJ4" s="47" t="s">
        <v>42</v>
      </c>
      <c r="AK4" s="47" t="s">
        <v>43</v>
      </c>
      <c r="AL4" s="47" t="s">
        <v>44</v>
      </c>
      <c r="AM4" s="47" t="s">
        <v>45</v>
      </c>
      <c r="AN4" s="47" t="s">
        <v>46</v>
      </c>
      <c r="AO4" s="47" t="s">
        <v>47</v>
      </c>
      <c r="AP4" s="47" t="s">
        <v>48</v>
      </c>
      <c r="AQ4" s="47" t="s">
        <v>31</v>
      </c>
      <c r="AR4" s="47" t="s">
        <v>49</v>
      </c>
      <c r="AS4" s="47" t="s">
        <v>50</v>
      </c>
      <c r="AT4" s="47" t="s">
        <v>51</v>
      </c>
      <c r="AU4" s="47" t="s">
        <v>52</v>
      </c>
      <c r="AV4" s="48" t="s">
        <v>20</v>
      </c>
      <c r="AW4" s="48" t="s">
        <v>53</v>
      </c>
      <c r="AX4" s="48" t="s">
        <v>46</v>
      </c>
      <c r="AY4" s="48" t="s">
        <v>54</v>
      </c>
      <c r="AZ4" s="48" t="s">
        <v>55</v>
      </c>
      <c r="BA4" s="48" t="s">
        <v>56</v>
      </c>
      <c r="BB4" s="48" t="s">
        <v>57</v>
      </c>
      <c r="BC4" s="48" t="s">
        <v>58</v>
      </c>
      <c r="BD4" s="48" t="s">
        <v>59</v>
      </c>
      <c r="BE4" s="49" t="s">
        <v>60</v>
      </c>
      <c r="BF4" s="49" t="s">
        <v>61</v>
      </c>
      <c r="BG4" s="50" t="s">
        <v>62</v>
      </c>
      <c r="BH4" s="50" t="s">
        <v>63</v>
      </c>
      <c r="BI4" s="50" t="s">
        <v>64</v>
      </c>
      <c r="BJ4" s="50" t="s">
        <v>65</v>
      </c>
      <c r="BK4" s="51" t="s">
        <v>66</v>
      </c>
      <c r="BL4" s="51" t="s">
        <v>67</v>
      </c>
      <c r="BM4" s="52" t="s">
        <v>68</v>
      </c>
      <c r="BN4" s="53" t="s">
        <v>69</v>
      </c>
      <c r="BO4" s="54" t="s">
        <v>70</v>
      </c>
      <c r="BP4" s="55" t="s">
        <v>71</v>
      </c>
      <c r="BQ4" s="55" t="s">
        <v>72</v>
      </c>
    </row>
    <row r="5" spans="1:69" ht="14.65" x14ac:dyDescent="0.45">
      <c r="A5" s="2" t="s">
        <v>73</v>
      </c>
      <c r="B5" s="2" t="s">
        <v>0</v>
      </c>
      <c r="C5" s="56" t="s">
        <v>74</v>
      </c>
      <c r="D5" s="57" t="s">
        <v>75</v>
      </c>
      <c r="E5" s="58" t="s">
        <v>76</v>
      </c>
      <c r="F5" s="58" t="s">
        <v>76</v>
      </c>
      <c r="G5" s="59"/>
      <c r="H5" s="60">
        <f>SUM(I5:BK5)</f>
        <v>1</v>
      </c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  <c r="AD5" s="44"/>
      <c r="AE5" s="44"/>
      <c r="AF5" s="44">
        <v>1</v>
      </c>
      <c r="AG5" s="45"/>
      <c r="AH5" s="46"/>
      <c r="AI5" s="47"/>
      <c r="AJ5" s="47"/>
      <c r="AK5" s="47"/>
      <c r="AL5" s="47"/>
      <c r="AM5" s="47"/>
      <c r="AN5" s="47"/>
      <c r="AO5" s="47"/>
      <c r="AP5" s="47"/>
      <c r="AQ5" s="47"/>
      <c r="AR5" s="47"/>
      <c r="AS5" s="47"/>
      <c r="AT5" s="47"/>
      <c r="AU5" s="47"/>
      <c r="AV5" s="48"/>
      <c r="AW5" s="48"/>
      <c r="AX5" s="48"/>
      <c r="AY5" s="48"/>
      <c r="AZ5" s="48"/>
      <c r="BA5" s="48"/>
      <c r="BB5" s="48"/>
      <c r="BC5" s="48"/>
      <c r="BD5" s="48"/>
      <c r="BE5" s="49"/>
      <c r="BF5" s="49"/>
      <c r="BG5" s="50"/>
      <c r="BH5" s="50"/>
      <c r="BI5" s="50"/>
      <c r="BJ5" s="50"/>
      <c r="BK5" s="51"/>
      <c r="BL5" s="61" t="str">
        <f>IF(BO5="",WORKDAY(F5,$BL$2),"")</f>
        <v/>
      </c>
      <c r="BM5" s="62"/>
      <c r="BN5" s="63" t="s">
        <v>77</v>
      </c>
      <c r="BO5" s="64">
        <v>45755</v>
      </c>
      <c r="BP5" s="55"/>
      <c r="BQ5" s="65"/>
    </row>
    <row r="6" spans="1:69" ht="14.65" x14ac:dyDescent="0.45">
      <c r="A6" s="2" t="s">
        <v>73</v>
      </c>
      <c r="B6" s="2" t="s">
        <v>1</v>
      </c>
      <c r="C6" s="56" t="s">
        <v>74</v>
      </c>
      <c r="D6" s="57" t="s">
        <v>75</v>
      </c>
      <c r="E6" s="58">
        <v>45943</v>
      </c>
      <c r="F6" s="58">
        <v>45945</v>
      </c>
      <c r="G6" s="59"/>
      <c r="H6" s="60">
        <f t="shared" ref="H6" si="1">SUM(I6:BK6)</f>
        <v>1</v>
      </c>
      <c r="I6" s="44"/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5">
        <v>1</v>
      </c>
      <c r="AH6" s="46"/>
      <c r="AI6" s="47"/>
      <c r="AJ6" s="47"/>
      <c r="AK6" s="47"/>
      <c r="AL6" s="47"/>
      <c r="AM6" s="47"/>
      <c r="AN6" s="47"/>
      <c r="AO6" s="47"/>
      <c r="AP6" s="47"/>
      <c r="AQ6" s="47"/>
      <c r="AR6" s="47"/>
      <c r="AS6" s="47"/>
      <c r="AT6" s="47"/>
      <c r="AU6" s="47"/>
      <c r="AV6" s="48"/>
      <c r="AW6" s="48"/>
      <c r="AX6" s="48"/>
      <c r="AY6" s="48"/>
      <c r="AZ6" s="48"/>
      <c r="BA6" s="48"/>
      <c r="BB6" s="48"/>
      <c r="BC6" s="48"/>
      <c r="BD6" s="48"/>
      <c r="BE6" s="49"/>
      <c r="BF6" s="49"/>
      <c r="BG6" s="50"/>
      <c r="BH6" s="50"/>
      <c r="BI6" s="50"/>
      <c r="BJ6" s="50"/>
      <c r="BK6" s="51"/>
      <c r="BL6" s="61">
        <f>IF(BO6="",WORKDAY(F6,$BL$2),"")</f>
        <v>45987</v>
      </c>
      <c r="BM6" s="62"/>
      <c r="BN6" s="63"/>
      <c r="BO6" s="64"/>
      <c r="BP6" s="55"/>
      <c r="BQ6" s="65"/>
    </row>
    <row r="7" spans="1:69" ht="14.65" x14ac:dyDescent="0.45">
      <c r="A7" s="2" t="s">
        <v>78</v>
      </c>
      <c r="B7" s="2" t="s">
        <v>4</v>
      </c>
      <c r="C7" s="56" t="s">
        <v>79</v>
      </c>
      <c r="D7" s="57" t="s">
        <v>80</v>
      </c>
      <c r="E7" s="58" t="s">
        <v>76</v>
      </c>
      <c r="F7" s="58">
        <v>45663</v>
      </c>
      <c r="G7" s="59"/>
      <c r="H7" s="60">
        <f>SUM(I7:BK7)</f>
        <v>1</v>
      </c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  <c r="AF7" s="44"/>
      <c r="AG7" s="45"/>
      <c r="AH7" s="46"/>
      <c r="AI7" s="47"/>
      <c r="AJ7" s="47"/>
      <c r="AK7" s="47"/>
      <c r="AL7" s="47"/>
      <c r="AM7" s="47"/>
      <c r="AN7" s="47"/>
      <c r="AO7" s="47"/>
      <c r="AP7" s="47"/>
      <c r="AQ7" s="47"/>
      <c r="AR7" s="47"/>
      <c r="AS7" s="47"/>
      <c r="AT7" s="47"/>
      <c r="AU7" s="47"/>
      <c r="AV7" s="48"/>
      <c r="AW7" s="48"/>
      <c r="AX7" s="48"/>
      <c r="AY7" s="48"/>
      <c r="AZ7" s="48"/>
      <c r="BA7" s="48"/>
      <c r="BB7" s="48"/>
      <c r="BC7" s="48"/>
      <c r="BD7" s="48">
        <v>1</v>
      </c>
      <c r="BE7" s="49"/>
      <c r="BF7" s="49"/>
      <c r="BG7" s="50"/>
      <c r="BH7" s="50"/>
      <c r="BI7" s="50"/>
      <c r="BJ7" s="50"/>
      <c r="BK7" s="51"/>
      <c r="BL7" s="61" t="str">
        <f>IF(BO7="",WORKDAY(F7,$BL$2),"")</f>
        <v/>
      </c>
      <c r="BM7" s="62" t="s">
        <v>81</v>
      </c>
      <c r="BN7" s="63" t="s">
        <v>77</v>
      </c>
      <c r="BO7" s="64">
        <v>45796</v>
      </c>
      <c r="BP7" s="55"/>
      <c r="BQ7" s="65"/>
    </row>
    <row r="8" spans="1:69" ht="14.65" x14ac:dyDescent="0.45">
      <c r="A8" s="2" t="s">
        <v>78</v>
      </c>
      <c r="B8" s="2" t="s">
        <v>3</v>
      </c>
      <c r="C8" s="56" t="s">
        <v>79</v>
      </c>
      <c r="D8" s="57" t="s">
        <v>80</v>
      </c>
      <c r="E8" s="58">
        <v>45576</v>
      </c>
      <c r="F8" s="58">
        <v>45667</v>
      </c>
      <c r="G8" s="59"/>
      <c r="H8" s="60">
        <f>SUM(I8:BK8)</f>
        <v>1</v>
      </c>
      <c r="I8" s="44"/>
      <c r="J8" s="44"/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  <c r="V8" s="44"/>
      <c r="W8" s="44"/>
      <c r="X8" s="44"/>
      <c r="Y8" s="44"/>
      <c r="Z8" s="44"/>
      <c r="AA8" s="44"/>
      <c r="AB8" s="44"/>
      <c r="AC8" s="44"/>
      <c r="AD8" s="44"/>
      <c r="AE8" s="44"/>
      <c r="AF8" s="44"/>
      <c r="AG8" s="45"/>
      <c r="AH8" s="46"/>
      <c r="AI8" s="47">
        <v>1</v>
      </c>
      <c r="AJ8" s="47"/>
      <c r="AK8" s="47"/>
      <c r="AL8" s="47"/>
      <c r="AM8" s="47"/>
      <c r="AN8" s="47"/>
      <c r="AO8" s="47"/>
      <c r="AP8" s="47"/>
      <c r="AQ8" s="47"/>
      <c r="AR8" s="47"/>
      <c r="AS8" s="47"/>
      <c r="AT8" s="47"/>
      <c r="AU8" s="47"/>
      <c r="AV8" s="48"/>
      <c r="AW8" s="48"/>
      <c r="AX8" s="48"/>
      <c r="AY8" s="48"/>
      <c r="AZ8" s="48"/>
      <c r="BA8" s="48"/>
      <c r="BB8" s="48"/>
      <c r="BC8" s="48"/>
      <c r="BD8" s="48"/>
      <c r="BE8" s="49"/>
      <c r="BF8" s="49"/>
      <c r="BG8" s="50"/>
      <c r="BH8" s="50"/>
      <c r="BI8" s="50"/>
      <c r="BJ8" s="50"/>
      <c r="BK8" s="51"/>
      <c r="BL8" s="61" t="str">
        <f>IF(BO8="",WORKDAY(F8,$BL$2),"")</f>
        <v/>
      </c>
      <c r="BM8" s="62" t="str">
        <f>BL8</f>
        <v/>
      </c>
      <c r="BN8" s="63" t="s">
        <v>82</v>
      </c>
      <c r="BO8" s="64">
        <v>45712</v>
      </c>
      <c r="BP8" s="55"/>
      <c r="BQ8" s="65"/>
    </row>
    <row r="9" spans="1:69" ht="14.65" x14ac:dyDescent="0.45">
      <c r="A9" s="2" t="s">
        <v>78</v>
      </c>
      <c r="B9" s="2" t="s">
        <v>0</v>
      </c>
      <c r="C9" s="56" t="s">
        <v>79</v>
      </c>
      <c r="D9" s="57" t="s">
        <v>80</v>
      </c>
      <c r="E9" s="58">
        <v>45576</v>
      </c>
      <c r="F9" s="58">
        <v>45731</v>
      </c>
      <c r="G9" s="59"/>
      <c r="H9" s="60">
        <f>SUM(I9:BK9)</f>
        <v>1</v>
      </c>
      <c r="I9" s="44"/>
      <c r="J9" s="44">
        <v>1</v>
      </c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5"/>
      <c r="AH9" s="46"/>
      <c r="AI9" s="47"/>
      <c r="AJ9" s="47"/>
      <c r="AK9" s="47"/>
      <c r="AL9" s="47"/>
      <c r="AM9" s="47"/>
      <c r="AN9" s="47"/>
      <c r="AO9" s="47"/>
      <c r="AP9" s="47"/>
      <c r="AQ9" s="47"/>
      <c r="AR9" s="47"/>
      <c r="AS9" s="47"/>
      <c r="AT9" s="47"/>
      <c r="AU9" s="47"/>
      <c r="AV9" s="48"/>
      <c r="AW9" s="48"/>
      <c r="AX9" s="48"/>
      <c r="AY9" s="48"/>
      <c r="AZ9" s="48"/>
      <c r="BA9" s="48"/>
      <c r="BB9" s="48"/>
      <c r="BC9" s="48"/>
      <c r="BD9" s="48"/>
      <c r="BE9" s="49"/>
      <c r="BF9" s="49"/>
      <c r="BG9" s="50"/>
      <c r="BH9" s="50"/>
      <c r="BI9" s="50"/>
      <c r="BJ9" s="50"/>
      <c r="BK9" s="51"/>
      <c r="BL9" s="61" t="str">
        <f>IF(BO9="",WORKDAY(F9,$BL$2),"")</f>
        <v/>
      </c>
      <c r="BM9" s="62" t="s">
        <v>81</v>
      </c>
      <c r="BN9" s="63" t="s">
        <v>77</v>
      </c>
      <c r="BO9" s="64">
        <v>45796</v>
      </c>
      <c r="BP9" s="55"/>
      <c r="BQ9" s="65"/>
    </row>
    <row r="10" spans="1:69" ht="14.65" x14ac:dyDescent="0.45">
      <c r="A10" s="2" t="s">
        <v>78</v>
      </c>
      <c r="B10" s="2" t="s">
        <v>3</v>
      </c>
      <c r="C10" s="56" t="s">
        <v>79</v>
      </c>
      <c r="D10" s="57" t="s">
        <v>80</v>
      </c>
      <c r="E10" s="58">
        <v>45576</v>
      </c>
      <c r="F10" s="58">
        <v>45731</v>
      </c>
      <c r="G10" s="59"/>
      <c r="H10" s="60">
        <f>SUM(I10:BK10)</f>
        <v>1</v>
      </c>
      <c r="I10" s="44"/>
      <c r="J10" s="44"/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  <c r="AE10" s="44"/>
      <c r="AF10" s="44"/>
      <c r="AG10" s="45"/>
      <c r="AH10" s="46"/>
      <c r="AI10" s="47"/>
      <c r="AJ10" s="47"/>
      <c r="AK10" s="47"/>
      <c r="AL10" s="47"/>
      <c r="AM10" s="47"/>
      <c r="AN10" s="47"/>
      <c r="AO10" s="47"/>
      <c r="AP10" s="47"/>
      <c r="AQ10" s="47"/>
      <c r="AR10" s="47"/>
      <c r="AS10" s="47"/>
      <c r="AT10" s="47">
        <v>1</v>
      </c>
      <c r="AU10" s="47"/>
      <c r="AV10" s="48"/>
      <c r="AW10" s="48"/>
      <c r="AX10" s="48"/>
      <c r="AY10" s="48"/>
      <c r="AZ10" s="48"/>
      <c r="BA10" s="48"/>
      <c r="BB10" s="48"/>
      <c r="BC10" s="48"/>
      <c r="BD10" s="48"/>
      <c r="BE10" s="49"/>
      <c r="BF10" s="49"/>
      <c r="BG10" s="50"/>
      <c r="BH10" s="50"/>
      <c r="BI10" s="50"/>
      <c r="BJ10" s="50"/>
      <c r="BK10" s="51"/>
      <c r="BL10" s="61" t="str">
        <f>IF(BO10="",WORKDAY(F10,$BL$2),"")</f>
        <v/>
      </c>
      <c r="BM10" s="62" t="s">
        <v>81</v>
      </c>
      <c r="BN10" s="66" t="s">
        <v>77</v>
      </c>
      <c r="BO10" s="64">
        <v>45796</v>
      </c>
      <c r="BP10" s="55"/>
      <c r="BQ10" s="65"/>
    </row>
    <row r="11" spans="1:69" ht="14.65" x14ac:dyDescent="0.45">
      <c r="A11" s="2" t="s">
        <v>78</v>
      </c>
      <c r="B11" s="2" t="s">
        <v>3</v>
      </c>
      <c r="C11" s="56" t="s">
        <v>79</v>
      </c>
      <c r="D11" s="57" t="s">
        <v>80</v>
      </c>
      <c r="E11" s="58">
        <v>45576</v>
      </c>
      <c r="F11" s="58">
        <v>45809</v>
      </c>
      <c r="G11" s="59"/>
      <c r="H11" s="60">
        <f>SUM(I11:BK11)</f>
        <v>1</v>
      </c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4"/>
      <c r="AF11" s="44"/>
      <c r="AG11" s="45"/>
      <c r="AH11" s="46"/>
      <c r="AI11" s="47"/>
      <c r="AJ11" s="47"/>
      <c r="AK11" s="47"/>
      <c r="AL11" s="47"/>
      <c r="AM11" s="47">
        <v>1</v>
      </c>
      <c r="AN11" s="47"/>
      <c r="AO11" s="47"/>
      <c r="AP11" s="47"/>
      <c r="AQ11" s="47"/>
      <c r="AR11" s="47"/>
      <c r="AS11" s="47"/>
      <c r="AT11" s="47"/>
      <c r="AU11" s="47"/>
      <c r="AV11" s="48"/>
      <c r="AW11" s="48"/>
      <c r="AX11" s="48"/>
      <c r="AY11" s="48"/>
      <c r="AZ11" s="48"/>
      <c r="BA11" s="48"/>
      <c r="BB11" s="48"/>
      <c r="BC11" s="48"/>
      <c r="BD11" s="48"/>
      <c r="BE11" s="49"/>
      <c r="BF11" s="49"/>
      <c r="BG11" s="50"/>
      <c r="BH11" s="50"/>
      <c r="BI11" s="50"/>
      <c r="BJ11" s="50"/>
      <c r="BK11" s="51"/>
      <c r="BL11" s="61" t="str">
        <f>IF(BO11="",WORKDAY(F11,$BL$2),"")</f>
        <v/>
      </c>
      <c r="BM11" s="62" t="s">
        <v>83</v>
      </c>
      <c r="BN11" s="63" t="s">
        <v>77</v>
      </c>
      <c r="BO11" s="64">
        <v>45896</v>
      </c>
      <c r="BP11" s="55"/>
      <c r="BQ11" s="65"/>
    </row>
    <row r="12" spans="1:69" ht="14.65" x14ac:dyDescent="0.45">
      <c r="A12" s="2" t="s">
        <v>78</v>
      </c>
      <c r="B12" s="2" t="s">
        <v>3</v>
      </c>
      <c r="C12" s="56" t="s">
        <v>79</v>
      </c>
      <c r="D12" s="57" t="s">
        <v>80</v>
      </c>
      <c r="E12" s="58">
        <v>45576</v>
      </c>
      <c r="F12" s="58">
        <v>45809</v>
      </c>
      <c r="G12" s="59"/>
      <c r="H12" s="60">
        <f>SUM(I12:BK12)</f>
        <v>1</v>
      </c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5"/>
      <c r="AH12" s="46"/>
      <c r="AI12" s="47"/>
      <c r="AJ12" s="47"/>
      <c r="AK12" s="47"/>
      <c r="AL12" s="47"/>
      <c r="AM12" s="47"/>
      <c r="AN12" s="47"/>
      <c r="AO12" s="47">
        <v>1</v>
      </c>
      <c r="AP12" s="47"/>
      <c r="AQ12" s="47"/>
      <c r="AR12" s="47"/>
      <c r="AS12" s="47"/>
      <c r="AT12" s="47"/>
      <c r="AU12" s="47"/>
      <c r="AV12" s="48"/>
      <c r="AW12" s="48"/>
      <c r="AX12" s="48"/>
      <c r="AY12" s="48"/>
      <c r="AZ12" s="48"/>
      <c r="BA12" s="48"/>
      <c r="BB12" s="48"/>
      <c r="BC12" s="48"/>
      <c r="BD12" s="48"/>
      <c r="BE12" s="49"/>
      <c r="BF12" s="49"/>
      <c r="BG12" s="50"/>
      <c r="BH12" s="50"/>
      <c r="BI12" s="50"/>
      <c r="BJ12" s="50"/>
      <c r="BK12" s="51"/>
      <c r="BL12" s="61">
        <f>IF(BO12="",WORKDAY(F12,$BL$2),"")</f>
        <v>45849</v>
      </c>
      <c r="BM12" s="62" t="s">
        <v>83</v>
      </c>
      <c r="BN12" s="63" t="s">
        <v>77</v>
      </c>
      <c r="BO12" s="54"/>
      <c r="BP12" s="55"/>
      <c r="BQ12" s="65"/>
    </row>
    <row r="13" spans="1:69" ht="14.65" x14ac:dyDescent="0.45">
      <c r="A13" s="2" t="s">
        <v>78</v>
      </c>
      <c r="B13" s="2" t="s">
        <v>3</v>
      </c>
      <c r="C13" s="56" t="s">
        <v>79</v>
      </c>
      <c r="D13" s="57" t="s">
        <v>80</v>
      </c>
      <c r="E13" s="58">
        <v>45576</v>
      </c>
      <c r="F13" s="58">
        <v>45809</v>
      </c>
      <c r="G13" s="59"/>
      <c r="H13" s="60">
        <f>SUM(I13:BK13)</f>
        <v>0.5</v>
      </c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44"/>
      <c r="AF13" s="44"/>
      <c r="AG13" s="45"/>
      <c r="AH13" s="46"/>
      <c r="AI13" s="47"/>
      <c r="AJ13" s="47"/>
      <c r="AK13" s="47"/>
      <c r="AL13" s="47"/>
      <c r="AM13" s="47"/>
      <c r="AN13" s="47">
        <v>0.5</v>
      </c>
      <c r="AO13" s="47"/>
      <c r="AP13" s="47"/>
      <c r="AQ13" s="47"/>
      <c r="AR13" s="47"/>
      <c r="AS13" s="47"/>
      <c r="AT13" s="47"/>
      <c r="AU13" s="47"/>
      <c r="AV13" s="48"/>
      <c r="AW13" s="48"/>
      <c r="AX13" s="48"/>
      <c r="AY13" s="48"/>
      <c r="AZ13" s="48"/>
      <c r="BA13" s="48"/>
      <c r="BB13" s="48"/>
      <c r="BC13" s="48"/>
      <c r="BD13" s="48"/>
      <c r="BE13" s="49"/>
      <c r="BF13" s="49"/>
      <c r="BG13" s="50"/>
      <c r="BH13" s="50"/>
      <c r="BI13" s="50"/>
      <c r="BJ13" s="50"/>
      <c r="BK13" s="51"/>
      <c r="BL13" s="61" t="str">
        <f>IF(BO13="",WORKDAY(F13,$BL$2),"")</f>
        <v/>
      </c>
      <c r="BM13" s="62" t="s">
        <v>83</v>
      </c>
      <c r="BN13" s="63" t="s">
        <v>77</v>
      </c>
      <c r="BO13" s="64">
        <v>45896</v>
      </c>
      <c r="BP13" s="55"/>
      <c r="BQ13" s="65"/>
    </row>
    <row r="14" spans="1:69" ht="14.65" x14ac:dyDescent="0.45">
      <c r="A14" s="2" t="s">
        <v>78</v>
      </c>
      <c r="B14" s="2" t="s">
        <v>0</v>
      </c>
      <c r="C14" s="56" t="s">
        <v>79</v>
      </c>
      <c r="D14" s="57" t="s">
        <v>80</v>
      </c>
      <c r="E14" s="58">
        <v>45576</v>
      </c>
      <c r="F14" s="58">
        <v>45901</v>
      </c>
      <c r="G14" s="59"/>
      <c r="H14" s="60">
        <f>SUM(I14:BK14)</f>
        <v>1</v>
      </c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>
        <v>1</v>
      </c>
      <c r="AD14" s="44"/>
      <c r="AE14" s="44"/>
      <c r="AF14" s="44"/>
      <c r="AG14" s="45"/>
      <c r="AH14" s="46"/>
      <c r="AI14" s="47"/>
      <c r="AJ14" s="47"/>
      <c r="AK14" s="47"/>
      <c r="AL14" s="47"/>
      <c r="AM14" s="47"/>
      <c r="AN14" s="47"/>
      <c r="AO14" s="47"/>
      <c r="AP14" s="47"/>
      <c r="AQ14" s="47"/>
      <c r="AR14" s="47"/>
      <c r="AS14" s="47"/>
      <c r="AT14" s="47"/>
      <c r="AU14" s="47"/>
      <c r="AV14" s="48"/>
      <c r="AW14" s="48"/>
      <c r="AX14" s="48"/>
      <c r="AY14" s="48"/>
      <c r="AZ14" s="48"/>
      <c r="BA14" s="48"/>
      <c r="BB14" s="48"/>
      <c r="BC14" s="48"/>
      <c r="BD14" s="48"/>
      <c r="BE14" s="49"/>
      <c r="BF14" s="49"/>
      <c r="BG14" s="50"/>
      <c r="BH14" s="50"/>
      <c r="BI14" s="50"/>
      <c r="BJ14" s="50"/>
      <c r="BK14" s="51"/>
      <c r="BL14" s="61">
        <f>IF(BO14="",WORKDAY(F14,$BL$2),"")</f>
        <v>45943</v>
      </c>
      <c r="BM14" s="62"/>
      <c r="BN14" s="63" t="s">
        <v>77</v>
      </c>
      <c r="BO14" s="64"/>
      <c r="BP14" s="55"/>
      <c r="BQ14" s="65"/>
    </row>
    <row r="15" spans="1:69" ht="14.65" x14ac:dyDescent="0.45">
      <c r="A15" s="2" t="s">
        <v>78</v>
      </c>
      <c r="B15" s="2" t="s">
        <v>3</v>
      </c>
      <c r="C15" s="56" t="s">
        <v>79</v>
      </c>
      <c r="D15" s="57" t="s">
        <v>80</v>
      </c>
      <c r="E15" s="58">
        <v>45576</v>
      </c>
      <c r="F15" s="58">
        <v>45901</v>
      </c>
      <c r="G15" s="59"/>
      <c r="H15" s="60">
        <f>SUM(I15:BK15)</f>
        <v>1</v>
      </c>
      <c r="I15" s="44"/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5"/>
      <c r="AH15" s="46"/>
      <c r="AI15" s="47"/>
      <c r="AJ15" s="47"/>
      <c r="AK15" s="47"/>
      <c r="AL15" s="47"/>
      <c r="AM15" s="47"/>
      <c r="AN15" s="47"/>
      <c r="AO15" s="47"/>
      <c r="AP15" s="47">
        <v>1</v>
      </c>
      <c r="AQ15" s="47"/>
      <c r="AR15" s="47"/>
      <c r="AS15" s="47"/>
      <c r="AT15" s="47"/>
      <c r="AU15" s="47"/>
      <c r="AV15" s="48"/>
      <c r="AW15" s="48"/>
      <c r="AX15" s="48"/>
      <c r="AY15" s="48"/>
      <c r="AZ15" s="48"/>
      <c r="BA15" s="48"/>
      <c r="BB15" s="48"/>
      <c r="BC15" s="48"/>
      <c r="BD15" s="48"/>
      <c r="BE15" s="49"/>
      <c r="BF15" s="49"/>
      <c r="BG15" s="50"/>
      <c r="BH15" s="50"/>
      <c r="BI15" s="50"/>
      <c r="BJ15" s="50"/>
      <c r="BK15" s="51"/>
      <c r="BL15" s="61">
        <f>IF(BO15="",WORKDAY(F15,$BL$2),"")</f>
        <v>45943</v>
      </c>
      <c r="BM15" s="62"/>
      <c r="BN15" s="63" t="s">
        <v>77</v>
      </c>
      <c r="BO15" s="54"/>
      <c r="BP15" s="55"/>
      <c r="BQ15" s="65"/>
    </row>
    <row r="16" spans="1:69" ht="14.65" x14ac:dyDescent="0.45">
      <c r="A16" s="2" t="s">
        <v>78</v>
      </c>
      <c r="B16" s="2" t="s">
        <v>4</v>
      </c>
      <c r="C16" s="56" t="s">
        <v>79</v>
      </c>
      <c r="D16" s="57" t="s">
        <v>80</v>
      </c>
      <c r="E16" s="58">
        <v>45576</v>
      </c>
      <c r="F16" s="58">
        <v>45901</v>
      </c>
      <c r="G16" s="59"/>
      <c r="H16" s="60">
        <f>SUM(I16:BK16)</f>
        <v>1</v>
      </c>
      <c r="I16" s="44"/>
      <c r="J16" s="44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4"/>
      <c r="AE16" s="44"/>
      <c r="AF16" s="44"/>
      <c r="AG16" s="45"/>
      <c r="AH16" s="46"/>
      <c r="AI16" s="47"/>
      <c r="AJ16" s="47"/>
      <c r="AK16" s="47"/>
      <c r="AL16" s="47"/>
      <c r="AM16" s="47"/>
      <c r="AN16" s="47"/>
      <c r="AO16" s="47"/>
      <c r="AP16" s="47"/>
      <c r="AQ16" s="47"/>
      <c r="AR16" s="47"/>
      <c r="AS16" s="47"/>
      <c r="AT16" s="47"/>
      <c r="AU16" s="47"/>
      <c r="AV16" s="48">
        <v>1</v>
      </c>
      <c r="AW16" s="48"/>
      <c r="AX16" s="48"/>
      <c r="AY16" s="48"/>
      <c r="AZ16" s="48"/>
      <c r="BA16" s="48"/>
      <c r="BB16" s="48"/>
      <c r="BC16" s="48"/>
      <c r="BD16" s="48"/>
      <c r="BE16" s="49"/>
      <c r="BF16" s="49"/>
      <c r="BG16" s="50"/>
      <c r="BH16" s="50"/>
      <c r="BI16" s="50"/>
      <c r="BJ16" s="50"/>
      <c r="BK16" s="51"/>
      <c r="BL16" s="61">
        <f>IF(BO16="",WORKDAY(F16,$BL$2),"")</f>
        <v>45943</v>
      </c>
      <c r="BM16" s="62"/>
      <c r="BN16" s="63" t="s">
        <v>77</v>
      </c>
      <c r="BO16" s="54"/>
      <c r="BP16" s="55"/>
      <c r="BQ16" s="65"/>
    </row>
    <row r="17" spans="1:69" ht="14.65" x14ac:dyDescent="0.45">
      <c r="A17" s="2" t="s">
        <v>78</v>
      </c>
      <c r="B17" s="2" t="s">
        <v>0</v>
      </c>
      <c r="C17" s="56" t="s">
        <v>79</v>
      </c>
      <c r="D17" s="57" t="s">
        <v>80</v>
      </c>
      <c r="E17" s="58">
        <v>45576</v>
      </c>
      <c r="F17" s="58">
        <v>45981</v>
      </c>
      <c r="G17" s="59"/>
      <c r="H17" s="60">
        <f>SUM(I17:BK17)</f>
        <v>1</v>
      </c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>
        <v>0.5</v>
      </c>
      <c r="AA17" s="44">
        <v>0.5</v>
      </c>
      <c r="AB17" s="44"/>
      <c r="AC17" s="44"/>
      <c r="AD17" s="44"/>
      <c r="AE17" s="44"/>
      <c r="AF17" s="44"/>
      <c r="AG17" s="45"/>
      <c r="AH17" s="46"/>
      <c r="AI17" s="47"/>
      <c r="AJ17" s="47"/>
      <c r="AK17" s="47"/>
      <c r="AL17" s="47"/>
      <c r="AM17" s="47"/>
      <c r="AN17" s="47"/>
      <c r="AO17" s="47"/>
      <c r="AP17" s="47"/>
      <c r="AQ17" s="47"/>
      <c r="AR17" s="47"/>
      <c r="AS17" s="47"/>
      <c r="AT17" s="47"/>
      <c r="AU17" s="47"/>
      <c r="AV17" s="48"/>
      <c r="AW17" s="48"/>
      <c r="AX17" s="48"/>
      <c r="AY17" s="48"/>
      <c r="AZ17" s="48"/>
      <c r="BA17" s="48"/>
      <c r="BB17" s="48"/>
      <c r="BC17" s="48"/>
      <c r="BD17" s="48"/>
      <c r="BE17" s="49"/>
      <c r="BF17" s="49"/>
      <c r="BG17" s="50"/>
      <c r="BH17" s="50"/>
      <c r="BI17" s="50"/>
      <c r="BJ17" s="50"/>
      <c r="BK17" s="51"/>
      <c r="BL17" s="61">
        <f>IF(BO17="",WORKDAY(F17,$BL$2),"")</f>
        <v>46023</v>
      </c>
      <c r="BM17" s="62"/>
      <c r="BN17" s="63"/>
      <c r="BO17" s="54"/>
      <c r="BP17" s="55"/>
      <c r="BQ17" s="65"/>
    </row>
    <row r="18" spans="1:69" ht="14.65" x14ac:dyDescent="0.45">
      <c r="A18" s="2" t="s">
        <v>78</v>
      </c>
      <c r="B18" s="2" t="s">
        <v>4</v>
      </c>
      <c r="C18" s="56" t="s">
        <v>79</v>
      </c>
      <c r="D18" s="57" t="s">
        <v>80</v>
      </c>
      <c r="E18" s="58">
        <v>45576</v>
      </c>
      <c r="F18" s="58">
        <v>45992</v>
      </c>
      <c r="G18" s="59"/>
      <c r="H18" s="60">
        <f>SUM(I18:BK18)</f>
        <v>1</v>
      </c>
      <c r="I18" s="44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5"/>
      <c r="AH18" s="46"/>
      <c r="AI18" s="47"/>
      <c r="AJ18" s="47"/>
      <c r="AK18" s="47"/>
      <c r="AL18" s="47"/>
      <c r="AM18" s="47"/>
      <c r="AN18" s="47"/>
      <c r="AO18" s="47"/>
      <c r="AP18" s="47"/>
      <c r="AQ18" s="47"/>
      <c r="AR18" s="47"/>
      <c r="AS18" s="47"/>
      <c r="AT18" s="47"/>
      <c r="AU18" s="47"/>
      <c r="AV18" s="48"/>
      <c r="AW18" s="48"/>
      <c r="AX18" s="48"/>
      <c r="AY18" s="48">
        <v>1</v>
      </c>
      <c r="AZ18" s="48"/>
      <c r="BA18" s="48"/>
      <c r="BB18" s="48"/>
      <c r="BC18" s="48"/>
      <c r="BD18" s="48"/>
      <c r="BE18" s="49"/>
      <c r="BF18" s="49"/>
      <c r="BG18" s="50"/>
      <c r="BH18" s="50"/>
      <c r="BI18" s="50"/>
      <c r="BJ18" s="50"/>
      <c r="BK18" s="51"/>
      <c r="BL18" s="61">
        <f>IF(BO18="",WORKDAY(F18,$BL$2),"")</f>
        <v>46034</v>
      </c>
      <c r="BM18" s="62"/>
      <c r="BN18" s="63"/>
      <c r="BO18" s="54"/>
      <c r="BP18" s="55"/>
      <c r="BQ18" s="65"/>
    </row>
    <row r="19" spans="1:69" ht="14.65" x14ac:dyDescent="0.45">
      <c r="A19" s="2" t="s">
        <v>73</v>
      </c>
      <c r="B19" s="67" t="s">
        <v>4</v>
      </c>
      <c r="C19" s="56" t="s">
        <v>84</v>
      </c>
      <c r="D19" s="57" t="s">
        <v>85</v>
      </c>
      <c r="E19" s="58">
        <v>45576</v>
      </c>
      <c r="F19" s="58">
        <v>45659</v>
      </c>
      <c r="G19" s="59"/>
      <c r="H19" s="60">
        <f>SUM(I19:BK19)</f>
        <v>1</v>
      </c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4"/>
      <c r="AG19" s="45"/>
      <c r="AH19" s="46"/>
      <c r="AI19" s="47"/>
      <c r="AJ19" s="47"/>
      <c r="AK19" s="47"/>
      <c r="AL19" s="47"/>
      <c r="AM19" s="47"/>
      <c r="AN19" s="47"/>
      <c r="AO19" s="47"/>
      <c r="AP19" s="47"/>
      <c r="AQ19" s="47"/>
      <c r="AR19" s="47"/>
      <c r="AS19" s="47"/>
      <c r="AT19" s="47"/>
      <c r="AU19" s="47"/>
      <c r="AV19" s="48"/>
      <c r="AW19" s="48"/>
      <c r="AX19" s="48"/>
      <c r="AY19" s="48"/>
      <c r="AZ19" s="48"/>
      <c r="BA19" s="48"/>
      <c r="BB19" s="48"/>
      <c r="BC19" s="48"/>
      <c r="BD19" s="48">
        <v>1</v>
      </c>
      <c r="BE19" s="49"/>
      <c r="BF19" s="49"/>
      <c r="BG19" s="50"/>
      <c r="BH19" s="50"/>
      <c r="BI19" s="50"/>
      <c r="BJ19" s="50"/>
      <c r="BK19" s="51"/>
      <c r="BL19" s="61" t="str">
        <f>IF(BO19="",WORKDAY(F19,$BL$2),"")</f>
        <v/>
      </c>
      <c r="BM19" s="62"/>
      <c r="BN19" s="63" t="s">
        <v>86</v>
      </c>
      <c r="BO19" s="54" t="s">
        <v>76</v>
      </c>
      <c r="BP19" s="55"/>
      <c r="BQ19" s="65"/>
    </row>
    <row r="20" spans="1:69" ht="14.65" x14ac:dyDescent="0.45">
      <c r="A20" s="2" t="s">
        <v>73</v>
      </c>
      <c r="B20" s="67" t="s">
        <v>0</v>
      </c>
      <c r="C20" s="56" t="s">
        <v>84</v>
      </c>
      <c r="D20" s="57" t="s">
        <v>85</v>
      </c>
      <c r="E20" s="58">
        <v>45576</v>
      </c>
      <c r="F20" s="58">
        <v>45684</v>
      </c>
      <c r="G20" s="59"/>
      <c r="H20" s="60">
        <f>SUM(I20:BK20)</f>
        <v>1</v>
      </c>
      <c r="I20" s="44">
        <v>1</v>
      </c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  <c r="AA20" s="44"/>
      <c r="AB20" s="44"/>
      <c r="AC20" s="44"/>
      <c r="AD20" s="44"/>
      <c r="AE20" s="44"/>
      <c r="AF20" s="44"/>
      <c r="AG20" s="45"/>
      <c r="AH20" s="46"/>
      <c r="AI20" s="47"/>
      <c r="AJ20" s="47"/>
      <c r="AK20" s="47"/>
      <c r="AL20" s="47"/>
      <c r="AM20" s="47"/>
      <c r="AN20" s="47"/>
      <c r="AO20" s="47"/>
      <c r="AP20" s="47"/>
      <c r="AQ20" s="47"/>
      <c r="AR20" s="47"/>
      <c r="AS20" s="47"/>
      <c r="AT20" s="47"/>
      <c r="AU20" s="47"/>
      <c r="AV20" s="48"/>
      <c r="AW20" s="48"/>
      <c r="AX20" s="48"/>
      <c r="AY20" s="48"/>
      <c r="AZ20" s="48"/>
      <c r="BA20" s="48"/>
      <c r="BB20" s="48"/>
      <c r="BC20" s="48"/>
      <c r="BD20" s="48"/>
      <c r="BE20" s="49"/>
      <c r="BF20" s="49"/>
      <c r="BG20" s="50"/>
      <c r="BH20" s="50"/>
      <c r="BI20" s="50"/>
      <c r="BJ20" s="50"/>
      <c r="BK20" s="51"/>
      <c r="BL20" s="61" t="str">
        <f>IF(BO20="",WORKDAY(F20,$BL$2),"")</f>
        <v/>
      </c>
      <c r="BM20" s="62"/>
      <c r="BN20" s="63" t="s">
        <v>86</v>
      </c>
      <c r="BO20" s="54" t="s">
        <v>76</v>
      </c>
      <c r="BP20" s="55"/>
      <c r="BQ20" s="65"/>
    </row>
    <row r="21" spans="1:69" ht="14.65" x14ac:dyDescent="0.45">
      <c r="A21" s="2" t="s">
        <v>73</v>
      </c>
      <c r="B21" s="67" t="s">
        <v>87</v>
      </c>
      <c r="C21" s="56" t="s">
        <v>84</v>
      </c>
      <c r="D21" s="57" t="s">
        <v>85</v>
      </c>
      <c r="E21" s="58">
        <v>45576</v>
      </c>
      <c r="F21" s="58">
        <v>45691</v>
      </c>
      <c r="G21" s="59"/>
      <c r="H21" s="60">
        <f>SUM(I21:BK21)</f>
        <v>0.5</v>
      </c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  <c r="AA21" s="44"/>
      <c r="AB21" s="44"/>
      <c r="AC21" s="44"/>
      <c r="AD21" s="44"/>
      <c r="AE21" s="44"/>
      <c r="AF21" s="44"/>
      <c r="AG21" s="45"/>
      <c r="AH21" s="46"/>
      <c r="AI21" s="47"/>
      <c r="AJ21" s="47"/>
      <c r="AK21" s="47"/>
      <c r="AL21" s="47"/>
      <c r="AM21" s="47"/>
      <c r="AN21" s="47"/>
      <c r="AO21" s="47"/>
      <c r="AP21" s="47"/>
      <c r="AQ21" s="47"/>
      <c r="AR21" s="47"/>
      <c r="AS21" s="47"/>
      <c r="AT21" s="47"/>
      <c r="AU21" s="47"/>
      <c r="AV21" s="48"/>
      <c r="AW21" s="48"/>
      <c r="AX21" s="48"/>
      <c r="AY21" s="48"/>
      <c r="AZ21" s="48"/>
      <c r="BA21" s="48"/>
      <c r="BB21" s="48"/>
      <c r="BC21" s="48"/>
      <c r="BD21" s="48"/>
      <c r="BE21" s="49"/>
      <c r="BF21" s="49"/>
      <c r="BG21" s="50">
        <v>0.5</v>
      </c>
      <c r="BH21" s="50"/>
      <c r="BI21" s="50"/>
      <c r="BJ21" s="50"/>
      <c r="BK21" s="51"/>
      <c r="BL21" s="61" t="str">
        <f>IF(BO21="",WORKDAY(F21,$BL$2),"")</f>
        <v/>
      </c>
      <c r="BM21" s="62"/>
      <c r="BN21" s="63" t="s">
        <v>86</v>
      </c>
      <c r="BO21" s="64">
        <v>45943</v>
      </c>
      <c r="BP21" s="55"/>
      <c r="BQ21" s="65"/>
    </row>
    <row r="22" spans="1:69" ht="14.65" x14ac:dyDescent="0.45">
      <c r="A22" s="2" t="s">
        <v>73</v>
      </c>
      <c r="B22" s="67" t="s">
        <v>2</v>
      </c>
      <c r="C22" s="56" t="s">
        <v>84</v>
      </c>
      <c r="D22" s="57" t="s">
        <v>85</v>
      </c>
      <c r="E22" s="58">
        <v>45576</v>
      </c>
      <c r="F22" s="58">
        <v>45691</v>
      </c>
      <c r="G22" s="59"/>
      <c r="H22" s="60">
        <f>SUM(I22:BK22)</f>
        <v>1</v>
      </c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  <c r="AA22" s="44"/>
      <c r="AB22" s="44"/>
      <c r="AC22" s="44"/>
      <c r="AD22" s="44"/>
      <c r="AE22" s="44"/>
      <c r="AF22" s="44"/>
      <c r="AG22" s="45"/>
      <c r="AH22" s="46">
        <v>1</v>
      </c>
      <c r="AI22" s="47"/>
      <c r="AJ22" s="47"/>
      <c r="AK22" s="47"/>
      <c r="AL22" s="47"/>
      <c r="AM22" s="47"/>
      <c r="AN22" s="47"/>
      <c r="AO22" s="47"/>
      <c r="AP22" s="47"/>
      <c r="AQ22" s="47"/>
      <c r="AR22" s="47"/>
      <c r="AS22" s="47"/>
      <c r="AT22" s="47"/>
      <c r="AU22" s="47"/>
      <c r="AV22" s="48"/>
      <c r="AW22" s="48"/>
      <c r="AX22" s="48"/>
      <c r="AY22" s="48"/>
      <c r="AZ22" s="48"/>
      <c r="BA22" s="48"/>
      <c r="BB22" s="48"/>
      <c r="BC22" s="48"/>
      <c r="BD22" s="48"/>
      <c r="BE22" s="49"/>
      <c r="BF22" s="49"/>
      <c r="BG22" s="50"/>
      <c r="BH22" s="50"/>
      <c r="BI22" s="50"/>
      <c r="BJ22" s="50"/>
      <c r="BK22" s="51"/>
      <c r="BL22" s="61">
        <f>IF(BO22="",WORKDAY(F22,$BL$2),"")</f>
        <v>45733</v>
      </c>
      <c r="BM22" s="62"/>
      <c r="BN22" s="63" t="s">
        <v>86</v>
      </c>
      <c r="BO22" s="54"/>
      <c r="BP22" s="55"/>
      <c r="BQ22" s="65"/>
    </row>
    <row r="23" spans="1:69" ht="14.65" x14ac:dyDescent="0.45">
      <c r="A23" s="2" t="s">
        <v>73</v>
      </c>
      <c r="B23" s="67" t="s">
        <v>0</v>
      </c>
      <c r="C23" s="56" t="s">
        <v>84</v>
      </c>
      <c r="D23" s="57" t="s">
        <v>85</v>
      </c>
      <c r="E23" s="58">
        <v>45576</v>
      </c>
      <c r="F23" s="58">
        <v>45777</v>
      </c>
      <c r="G23" s="59"/>
      <c r="H23" s="60">
        <f>SUM(I23:BK23)</f>
        <v>1</v>
      </c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>
        <v>1</v>
      </c>
      <c r="T23" s="44"/>
      <c r="U23" s="44"/>
      <c r="V23" s="44"/>
      <c r="W23" s="44"/>
      <c r="X23" s="44"/>
      <c r="Y23" s="44"/>
      <c r="Z23" s="44"/>
      <c r="AA23" s="44"/>
      <c r="AB23" s="44"/>
      <c r="AC23" s="44"/>
      <c r="AD23" s="44"/>
      <c r="AE23" s="44"/>
      <c r="AF23" s="44"/>
      <c r="AG23" s="45"/>
      <c r="AH23" s="46"/>
      <c r="AI23" s="47"/>
      <c r="AJ23" s="47"/>
      <c r="AK23" s="47"/>
      <c r="AL23" s="47"/>
      <c r="AM23" s="47"/>
      <c r="AN23" s="47"/>
      <c r="AO23" s="47"/>
      <c r="AP23" s="47"/>
      <c r="AQ23" s="47"/>
      <c r="AR23" s="47"/>
      <c r="AS23" s="47"/>
      <c r="AT23" s="47"/>
      <c r="AU23" s="47"/>
      <c r="AV23" s="48"/>
      <c r="AW23" s="48"/>
      <c r="AX23" s="48"/>
      <c r="AY23" s="48"/>
      <c r="AZ23" s="48"/>
      <c r="BA23" s="48"/>
      <c r="BB23" s="48"/>
      <c r="BC23" s="48"/>
      <c r="BD23" s="48"/>
      <c r="BE23" s="49"/>
      <c r="BF23" s="49"/>
      <c r="BG23" s="50"/>
      <c r="BH23" s="50"/>
      <c r="BI23" s="50"/>
      <c r="BJ23" s="50"/>
      <c r="BK23" s="51"/>
      <c r="BL23" s="61" t="str">
        <f>IF(BO23="",WORKDAY(F23,$BL$2),"")</f>
        <v/>
      </c>
      <c r="BM23" s="62"/>
      <c r="BN23" s="63" t="s">
        <v>88</v>
      </c>
      <c r="BO23" s="64">
        <v>45895</v>
      </c>
      <c r="BP23" s="55"/>
      <c r="BQ23" s="65"/>
    </row>
    <row r="24" spans="1:69" ht="14.65" x14ac:dyDescent="0.45">
      <c r="A24" s="2" t="s">
        <v>73</v>
      </c>
      <c r="B24" s="67" t="s">
        <v>0</v>
      </c>
      <c r="C24" s="56" t="s">
        <v>84</v>
      </c>
      <c r="D24" s="57" t="s">
        <v>85</v>
      </c>
      <c r="E24" s="58">
        <v>45763</v>
      </c>
      <c r="F24" s="58">
        <v>45887</v>
      </c>
      <c r="G24" s="59"/>
      <c r="H24" s="60">
        <f>SUM(I24:BK24)</f>
        <v>1</v>
      </c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>
        <v>1</v>
      </c>
      <c r="X24" s="44"/>
      <c r="Y24" s="44"/>
      <c r="Z24" s="44"/>
      <c r="AA24" s="44"/>
      <c r="AB24" s="44"/>
      <c r="AC24" s="44"/>
      <c r="AD24" s="44"/>
      <c r="AE24" s="44"/>
      <c r="AF24" s="44"/>
      <c r="AG24" s="45"/>
      <c r="AH24" s="46"/>
      <c r="AI24" s="47"/>
      <c r="AJ24" s="47"/>
      <c r="AK24" s="47"/>
      <c r="AL24" s="47"/>
      <c r="AM24" s="47"/>
      <c r="AN24" s="47"/>
      <c r="AO24" s="47"/>
      <c r="AP24" s="47"/>
      <c r="AQ24" s="47"/>
      <c r="AR24" s="47"/>
      <c r="AS24" s="47"/>
      <c r="AT24" s="47"/>
      <c r="AU24" s="47"/>
      <c r="AV24" s="48"/>
      <c r="AW24" s="48"/>
      <c r="AX24" s="48"/>
      <c r="AY24" s="48"/>
      <c r="AZ24" s="48"/>
      <c r="BA24" s="48"/>
      <c r="BB24" s="48"/>
      <c r="BC24" s="48"/>
      <c r="BD24" s="48"/>
      <c r="BE24" s="49"/>
      <c r="BF24" s="49"/>
      <c r="BG24" s="50"/>
      <c r="BH24" s="50"/>
      <c r="BI24" s="50"/>
      <c r="BJ24" s="50"/>
      <c r="BK24" s="51"/>
      <c r="BL24" s="61">
        <f>IF(BO24="",WORKDAY(F24,$BL$2),"")</f>
        <v>45929</v>
      </c>
      <c r="BM24" s="62"/>
      <c r="BN24" s="63" t="s">
        <v>86</v>
      </c>
      <c r="BO24" s="54"/>
      <c r="BP24" s="55"/>
      <c r="BQ24" s="65"/>
    </row>
    <row r="25" spans="1:69" ht="14.65" x14ac:dyDescent="0.45">
      <c r="A25" s="2" t="s">
        <v>73</v>
      </c>
      <c r="B25" s="67" t="s">
        <v>0</v>
      </c>
      <c r="C25" s="56" t="s">
        <v>84</v>
      </c>
      <c r="D25" s="57" t="s">
        <v>85</v>
      </c>
      <c r="E25" s="58">
        <v>45763</v>
      </c>
      <c r="F25" s="58">
        <v>45908</v>
      </c>
      <c r="G25" s="59"/>
      <c r="H25" s="60">
        <f>SUM(I25:BK25)</f>
        <v>1</v>
      </c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  <c r="AA25" s="44"/>
      <c r="AB25" s="44"/>
      <c r="AC25" s="44"/>
      <c r="AD25" s="44"/>
      <c r="AE25" s="44"/>
      <c r="AF25" s="44">
        <v>1</v>
      </c>
      <c r="AG25" s="45"/>
      <c r="AH25" s="46"/>
      <c r="AI25" s="47"/>
      <c r="AJ25" s="47"/>
      <c r="AK25" s="47"/>
      <c r="AL25" s="47"/>
      <c r="AM25" s="47"/>
      <c r="AN25" s="47"/>
      <c r="AO25" s="47"/>
      <c r="AP25" s="47"/>
      <c r="AQ25" s="47"/>
      <c r="AR25" s="47"/>
      <c r="AS25" s="47"/>
      <c r="AT25" s="47"/>
      <c r="AU25" s="47"/>
      <c r="AV25" s="48"/>
      <c r="AW25" s="48"/>
      <c r="AX25" s="48"/>
      <c r="AY25" s="48"/>
      <c r="AZ25" s="48"/>
      <c r="BA25" s="48"/>
      <c r="BB25" s="48"/>
      <c r="BC25" s="48"/>
      <c r="BD25" s="48"/>
      <c r="BE25" s="49"/>
      <c r="BF25" s="49"/>
      <c r="BG25" s="50"/>
      <c r="BH25" s="50"/>
      <c r="BI25" s="50"/>
      <c r="BJ25" s="50"/>
      <c r="BK25" s="51"/>
      <c r="BL25" s="61">
        <f>IF(BO25="",WORKDAY(F25,$BL$2),"")</f>
        <v>45950</v>
      </c>
      <c r="BM25" s="62"/>
      <c r="BN25" s="63" t="s">
        <v>86</v>
      </c>
      <c r="BO25" s="54"/>
      <c r="BP25" s="55"/>
      <c r="BQ25" s="65"/>
    </row>
    <row r="26" spans="1:69" ht="14.65" x14ac:dyDescent="0.45">
      <c r="A26" s="2" t="s">
        <v>73</v>
      </c>
      <c r="B26" s="67" t="s">
        <v>4</v>
      </c>
      <c r="C26" s="56" t="s">
        <v>84</v>
      </c>
      <c r="D26" s="57" t="s">
        <v>85</v>
      </c>
      <c r="E26" s="58">
        <v>45763</v>
      </c>
      <c r="F26" s="58">
        <v>45943</v>
      </c>
      <c r="G26" s="59"/>
      <c r="H26" s="60">
        <f>SUM(I26:BK26)</f>
        <v>1</v>
      </c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  <c r="AA26" s="44"/>
      <c r="AB26" s="44"/>
      <c r="AC26" s="44"/>
      <c r="AD26" s="44"/>
      <c r="AE26" s="44"/>
      <c r="AF26" s="44"/>
      <c r="AG26" s="45"/>
      <c r="AH26" s="46"/>
      <c r="AI26" s="47"/>
      <c r="AJ26" s="47"/>
      <c r="AK26" s="47"/>
      <c r="AL26" s="47"/>
      <c r="AM26" s="47"/>
      <c r="AN26" s="47"/>
      <c r="AO26" s="47"/>
      <c r="AP26" s="47"/>
      <c r="AQ26" s="47"/>
      <c r="AR26" s="47"/>
      <c r="AS26" s="47"/>
      <c r="AT26" s="47"/>
      <c r="AU26" s="47"/>
      <c r="AV26" s="48"/>
      <c r="AW26" s="48"/>
      <c r="AX26" s="48"/>
      <c r="AY26" s="48"/>
      <c r="AZ26" s="48"/>
      <c r="BA26" s="48"/>
      <c r="BB26" s="48"/>
      <c r="BC26" s="48"/>
      <c r="BD26" s="48">
        <v>1</v>
      </c>
      <c r="BE26" s="49"/>
      <c r="BF26" s="49"/>
      <c r="BG26" s="50"/>
      <c r="BH26" s="50"/>
      <c r="BI26" s="50"/>
      <c r="BJ26" s="50"/>
      <c r="BK26" s="51"/>
      <c r="BL26" s="61">
        <f>IF(BO26="",WORKDAY(F26,$BL$2),"")</f>
        <v>45985</v>
      </c>
      <c r="BM26" s="62"/>
      <c r="BN26" s="63"/>
      <c r="BO26" s="54"/>
      <c r="BP26" s="55"/>
      <c r="BQ26" s="65"/>
    </row>
    <row r="27" spans="1:69" ht="14.65" x14ac:dyDescent="0.45">
      <c r="A27" s="2" t="s">
        <v>73</v>
      </c>
      <c r="B27" s="67" t="s">
        <v>0</v>
      </c>
      <c r="C27" s="56" t="s">
        <v>84</v>
      </c>
      <c r="D27" s="57" t="s">
        <v>85</v>
      </c>
      <c r="E27" s="58">
        <v>45576</v>
      </c>
      <c r="F27" s="58">
        <v>45975</v>
      </c>
      <c r="G27" s="59"/>
      <c r="H27" s="60">
        <f>SUM(I27:BK27)</f>
        <v>1</v>
      </c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  <c r="AA27" s="44">
        <v>1</v>
      </c>
      <c r="AB27" s="44"/>
      <c r="AC27" s="44"/>
      <c r="AD27" s="44"/>
      <c r="AE27" s="44"/>
      <c r="AF27" s="44"/>
      <c r="AG27" s="45"/>
      <c r="AH27" s="46"/>
      <c r="AI27" s="47"/>
      <c r="AJ27" s="47"/>
      <c r="AK27" s="47"/>
      <c r="AL27" s="47"/>
      <c r="AM27" s="47"/>
      <c r="AN27" s="47"/>
      <c r="AO27" s="47"/>
      <c r="AP27" s="47"/>
      <c r="AQ27" s="47"/>
      <c r="AR27" s="47"/>
      <c r="AS27" s="47"/>
      <c r="AT27" s="47"/>
      <c r="AU27" s="47"/>
      <c r="AV27" s="48"/>
      <c r="AW27" s="48"/>
      <c r="AX27" s="48"/>
      <c r="AY27" s="48"/>
      <c r="AZ27" s="48"/>
      <c r="BA27" s="48"/>
      <c r="BB27" s="48"/>
      <c r="BC27" s="48"/>
      <c r="BD27" s="48"/>
      <c r="BE27" s="49"/>
      <c r="BF27" s="49"/>
      <c r="BG27" s="50"/>
      <c r="BH27" s="50"/>
      <c r="BI27" s="50"/>
      <c r="BJ27" s="50"/>
      <c r="BK27" s="51"/>
      <c r="BL27" s="61">
        <f>IF(BO27="",WORKDAY(F27,$BL$2),"")</f>
        <v>46017</v>
      </c>
      <c r="BM27" s="62"/>
      <c r="BN27" s="63"/>
      <c r="BO27" s="54"/>
      <c r="BP27" s="55"/>
      <c r="BQ27" s="65"/>
    </row>
  </sheetData>
  <conditionalFormatting sqref="BL5:BL27">
    <cfRule type="cellIs" dxfId="1" priority="1" operator="greaterThan">
      <formula>TODAY()</formula>
    </cfRule>
    <cfRule type="cellIs" dxfId="0" priority="2" operator="lessThan">
      <formula>TODAY()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PLANNING BFC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Ludovic FRAIOLI</dc:creator>
  <cp:lastModifiedBy>Ludovic FRAIOLI</cp:lastModifiedBy>
  <dcterms:created xsi:type="dcterms:W3CDTF">2015-06-05T18:19:34Z</dcterms:created>
  <dcterms:modified xsi:type="dcterms:W3CDTF">2025-10-30T07:40:23Z</dcterms:modified>
</cp:coreProperties>
</file>